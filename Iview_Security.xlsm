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"/>
    </mc:Choice>
  </mc:AlternateContent>
  <xr:revisionPtr revIDLastSave="0" documentId="13_ncr:1_{070E03DD-9272-43C6-B14D-AB61BE1D1068}" xr6:coauthVersionLast="45" xr6:coauthVersionMax="45" xr10:uidLastSave="{00000000-0000-0000-0000-000000000000}"/>
  <bookViews>
    <workbookView xWindow="0" yWindow="0" windowWidth="19140" windowHeight="10200" activeTab="2" xr2:uid="{00000000-000D-0000-FFFF-FFFF00000000}"/>
  </bookViews>
  <sheets>
    <sheet name="Switchboard" sheetId="4" r:id="rId1"/>
    <sheet name="input" sheetId="1" r:id="rId2"/>
    <sheet name="processing&amp;output" sheetId="3" r:id="rId3"/>
  </sheets>
  <definedNames>
    <definedName name="Customer_details">input!$A$11:$H$18</definedName>
    <definedName name="delivery_and_installation">input!$B$37:$C$39</definedName>
    <definedName name="_xlnm.Print_Area" localSheetId="2">'processing&amp;output'!$A$10:$F$36</definedName>
    <definedName name="Product_details">input!$A$22:$G$31</definedName>
    <definedName name="product_detailsnew">input!$A$22:$F$33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25" i="1" l="1"/>
  <c r="H26" i="3"/>
  <c r="H25" i="3"/>
  <c r="H24" i="3"/>
  <c r="H22" i="3"/>
  <c r="H21" i="3"/>
  <c r="H20" i="3"/>
  <c r="H19" i="3"/>
  <c r="H18" i="3"/>
  <c r="H17" i="3"/>
  <c r="H16" i="3"/>
  <c r="H15" i="3"/>
  <c r="H14" i="3"/>
  <c r="H13" i="3"/>
  <c r="H12" i="3"/>
  <c r="B12" i="3"/>
  <c r="B13" i="3"/>
  <c r="G40" i="3"/>
  <c r="E40" i="3"/>
  <c r="F40" i="3"/>
  <c r="D40" i="3"/>
  <c r="C40" i="3"/>
  <c r="B17" i="3"/>
  <c r="B16" i="3"/>
  <c r="B15" i="3"/>
  <c r="B14" i="3"/>
  <c r="B7" i="1"/>
  <c r="F33" i="1"/>
  <c r="E33" i="1"/>
  <c r="F25" i="1"/>
  <c r="D26" i="1"/>
  <c r="H23" i="3" l="1"/>
  <c r="H28" i="3" s="1"/>
  <c r="F4" i="1"/>
  <c r="B9" i="1"/>
</calcChain>
</file>

<file path=xl/sharedStrings.xml><?xml version="1.0" encoding="utf-8"?>
<sst xmlns="http://schemas.openxmlformats.org/spreadsheetml/2006/main" count="82" uniqueCount="70">
  <si>
    <t xml:space="preserve">iView Security </t>
  </si>
  <si>
    <t>date</t>
  </si>
  <si>
    <t>Address</t>
  </si>
  <si>
    <t>Town</t>
  </si>
  <si>
    <t>Telephone number</t>
  </si>
  <si>
    <t>Mobile number</t>
  </si>
  <si>
    <t>Postcode</t>
  </si>
  <si>
    <t>Customer number</t>
  </si>
  <si>
    <t>Customer details</t>
  </si>
  <si>
    <t>time</t>
  </si>
  <si>
    <t>Name</t>
  </si>
  <si>
    <t>Unit price</t>
  </si>
  <si>
    <t>Manufacture</t>
  </si>
  <si>
    <t>Warranty</t>
  </si>
  <si>
    <t>Selling price</t>
  </si>
  <si>
    <t xml:space="preserve">Product details </t>
  </si>
  <si>
    <t>Southall</t>
  </si>
  <si>
    <t>greenford</t>
  </si>
  <si>
    <t>southall</t>
  </si>
  <si>
    <t>ub12we</t>
  </si>
  <si>
    <t>ealing</t>
  </si>
  <si>
    <t>ub65ty</t>
  </si>
  <si>
    <t>ub56re</t>
  </si>
  <si>
    <t>uv34sl</t>
  </si>
  <si>
    <t>0208-123-4321</t>
  </si>
  <si>
    <t>0289-647-8940</t>
  </si>
  <si>
    <t>0208-967-5645</t>
  </si>
  <si>
    <t>017-846-72560</t>
  </si>
  <si>
    <t>ug12qi</t>
  </si>
  <si>
    <t>0208-345-321</t>
  </si>
  <si>
    <t xml:space="preserve">  </t>
  </si>
  <si>
    <t>Eliza Stachowicz</t>
  </si>
  <si>
    <t>Amrit Kalsi</t>
  </si>
  <si>
    <t xml:space="preserve">Amina Caydid </t>
  </si>
  <si>
    <t>Madhia ahmad</t>
  </si>
  <si>
    <t>china ltd</t>
  </si>
  <si>
    <t>coloured camera</t>
  </si>
  <si>
    <t>wireless alarm,</t>
  </si>
  <si>
    <t xml:space="preserve">coloured camera, </t>
  </si>
  <si>
    <t>door contact for alarms,</t>
  </si>
  <si>
    <t>shock detector</t>
  </si>
  <si>
    <t>wired alarms</t>
  </si>
  <si>
    <t>break glass detector</t>
  </si>
  <si>
    <t>Products</t>
  </si>
  <si>
    <t>product number</t>
  </si>
  <si>
    <t>total price</t>
  </si>
  <si>
    <t xml:space="preserve">motion sensor camera, </t>
  </si>
  <si>
    <t>pir  (passive infa red) detectors for Alarms</t>
  </si>
  <si>
    <t>44,Yellow road</t>
  </si>
  <si>
    <t>66, System of a down Avenue</t>
  </si>
  <si>
    <t>17, sweet avenue</t>
  </si>
  <si>
    <t>34, sugar land avenue</t>
  </si>
  <si>
    <t>45, sunny road</t>
  </si>
  <si>
    <t>07812367843</t>
  </si>
  <si>
    <t>07945767893</t>
  </si>
  <si>
    <t>07884678942</t>
  </si>
  <si>
    <t>07865435432</t>
  </si>
  <si>
    <t>07779678564</t>
  </si>
  <si>
    <t>customer details</t>
  </si>
  <si>
    <t>product id</t>
  </si>
  <si>
    <t>product description</t>
  </si>
  <si>
    <t xml:space="preserve">quantity </t>
  </si>
  <si>
    <t>warrenty</t>
  </si>
  <si>
    <t xml:space="preserve">price </t>
  </si>
  <si>
    <t>sub total</t>
  </si>
  <si>
    <t>delivery charge</t>
  </si>
  <si>
    <t>installation charge</t>
  </si>
  <si>
    <t xml:space="preserve">payment charge </t>
  </si>
  <si>
    <t xml:space="preserve">total price </t>
  </si>
  <si>
    <t xml:space="preserve">Manpreet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</si>
</sst>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£&quot;* #,##0.00_);_(&quot;£&quot;* \(#,##0.00\);_(&quot;£&quot;* &quot;-&quot;??_);_(@_)"/>
    <numFmt numFmtId="165" formatCode="&quot;£&quot;#,##0_);[Red]\(&quot;£&quot;#,##0\)"/>
    <numFmt numFmtId="166" formatCode="_-[$£-809]* #,##0.00_-;\-[$£-809]* #,##0.00_-;_-[$£-809]* &quot;-&quot;??_-;_-@_-"/>
    <numFmt numFmtId="167" formatCode="&quot;£&quot;#,##0.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6" fillId="0" borderId="0" applyFont="0" applyFill="0" applyBorder="0" applyAlignment="0" applyProtection="0"/>
  </cellStyleXfs>
  <cellXfs count="71">
    <xf numFmtId="0" fontId="0" fillId="0" borderId="0" xfId="0"/>
    <xf numFmtId="0" fontId="0" fillId="0" borderId="0" xfId="0" applyAlignment="1"/>
    <xf numFmtId="20" fontId="0" fillId="0" borderId="0" xfId="0" applyNumberFormat="1"/>
    <xf numFmtId="0" fontId="1" fillId="0" borderId="0" xfId="0" applyFont="1" applyBorder="1"/>
    <xf numFmtId="0" fontId="0" fillId="0" borderId="0" xfId="0" applyBorder="1"/>
    <xf numFmtId="0" fontId="0" fillId="2" borderId="0" xfId="0" applyFill="1"/>
    <xf numFmtId="0" fontId="0" fillId="3" borderId="0" xfId="0" applyFill="1"/>
    <xf numFmtId="14" fontId="0" fillId="3" borderId="0" xfId="0" applyNumberFormat="1" applyFill="1"/>
    <xf numFmtId="20" fontId="0" fillId="3" borderId="0" xfId="0" applyNumberFormat="1" applyFill="1"/>
    <xf numFmtId="0" fontId="0" fillId="3" borderId="0" xfId="0" applyFill="1" applyAlignment="1"/>
    <xf numFmtId="0" fontId="0" fillId="3" borderId="0" xfId="0" applyFill="1" applyBorder="1"/>
    <xf numFmtId="0" fontId="0" fillId="3" borderId="0" xfId="0" applyFill="1" applyBorder="1" applyAlignment="1"/>
    <xf numFmtId="0" fontId="1" fillId="3" borderId="13" xfId="0" applyFont="1" applyFill="1" applyBorder="1"/>
    <xf numFmtId="0" fontId="1" fillId="3" borderId="15" xfId="0" applyFont="1" applyFill="1" applyBorder="1"/>
    <xf numFmtId="0" fontId="1" fillId="3" borderId="14" xfId="0" applyFont="1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3" borderId="12" xfId="0" applyFill="1" applyBorder="1"/>
    <xf numFmtId="0" fontId="1" fillId="3" borderId="1" xfId="0" applyFont="1" applyFill="1" applyBorder="1"/>
    <xf numFmtId="0" fontId="0" fillId="3" borderId="1" xfId="0" applyFill="1" applyBorder="1" applyAlignment="1">
      <alignment wrapText="1"/>
    </xf>
    <xf numFmtId="0" fontId="0" fillId="3" borderId="0" xfId="0" applyFill="1" applyAlignment="1">
      <alignment horizontal="center"/>
    </xf>
    <xf numFmtId="165" fontId="0" fillId="3" borderId="0" xfId="0" applyNumberFormat="1" applyFill="1"/>
    <xf numFmtId="166" fontId="0" fillId="3" borderId="1" xfId="0" applyNumberFormat="1" applyFill="1" applyBorder="1"/>
    <xf numFmtId="49" fontId="0" fillId="3" borderId="9" xfId="0" applyNumberFormat="1" applyFill="1" applyBorder="1"/>
    <xf numFmtId="0" fontId="0" fillId="0" borderId="0" xfId="0"/>
    <xf numFmtId="166" fontId="0" fillId="0" borderId="0" xfId="0" applyNumberFormat="1" applyBorder="1"/>
    <xf numFmtId="0" fontId="2" fillId="0" borderId="0" xfId="0" applyFont="1" applyAlignment="1"/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6" fontId="0" fillId="0" borderId="1" xfId="1" applyNumberFormat="1" applyFont="1" applyBorder="1"/>
    <xf numFmtId="164" fontId="0" fillId="0" borderId="0" xfId="1" applyFont="1"/>
    <xf numFmtId="0" fontId="1" fillId="0" borderId="18" xfId="0" applyFont="1" applyBorder="1"/>
    <xf numFmtId="14" fontId="0" fillId="0" borderId="19" xfId="0" applyNumberFormat="1" applyBorder="1"/>
    <xf numFmtId="0" fontId="0" fillId="0" borderId="19" xfId="0" applyBorder="1"/>
    <xf numFmtId="0" fontId="0" fillId="0" borderId="19" xfId="0" applyFill="1" applyBorder="1"/>
    <xf numFmtId="0" fontId="0" fillId="0" borderId="20" xfId="0" applyFill="1" applyBorder="1"/>
    <xf numFmtId="0" fontId="0" fillId="0" borderId="8" xfId="0" applyFill="1" applyBorder="1"/>
    <xf numFmtId="164" fontId="0" fillId="0" borderId="9" xfId="1" applyFont="1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166" fontId="0" fillId="0" borderId="11" xfId="1" applyNumberFormat="1" applyFont="1" applyBorder="1"/>
    <xf numFmtId="164" fontId="0" fillId="0" borderId="12" xfId="1" applyFont="1" applyBorder="1"/>
    <xf numFmtId="0" fontId="0" fillId="0" borderId="18" xfId="0" applyBorder="1"/>
    <xf numFmtId="164" fontId="0" fillId="0" borderId="9" xfId="1" applyFont="1" applyFill="1" applyBorder="1"/>
    <xf numFmtId="0" fontId="0" fillId="0" borderId="9" xfId="0" applyBorder="1"/>
    <xf numFmtId="164" fontId="0" fillId="0" borderId="20" xfId="0" applyNumberFormat="1" applyBorder="1"/>
    <xf numFmtId="164" fontId="0" fillId="0" borderId="12" xfId="0" applyNumberFormat="1" applyBorder="1"/>
    <xf numFmtId="167" fontId="0" fillId="0" borderId="9" xfId="0" applyNumberFormat="1" applyBorder="1"/>
    <xf numFmtId="0" fontId="3" fillId="3" borderId="0" xfId="0" applyFont="1" applyFill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16" xfId="0" applyFont="1" applyFill="1" applyBorder="1" applyAlignment="1">
      <alignment horizontal="center"/>
    </xf>
    <xf numFmtId="0" fontId="4" fillId="3" borderId="0" xfId="0" applyFont="1" applyFill="1" applyBorder="1" applyAlignment="1">
      <alignment horizontal="center"/>
    </xf>
    <xf numFmtId="0" fontId="4" fillId="3" borderId="17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16" xfId="0" applyFon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15" fmlaLink="A100" fmlaRange="input!$B$14:$B$18" noThreeD="1" sel="2" val="0"/>
</file>

<file path=xl/ctrlProps/ctrlProp10.xml><?xml version="1.0" encoding="utf-8"?>
<formControlPr xmlns="http://schemas.microsoft.com/office/spreadsheetml/2009/9/main" objectType="Spin" dx="15" fmlaLink="$J$7" max="30000" page="10"/>
</file>

<file path=xl/ctrlProps/ctrlProp11.xml><?xml version="1.0" encoding="utf-8"?>
<formControlPr xmlns="http://schemas.microsoft.com/office/spreadsheetml/2009/9/main" objectType="Drop" dropStyle="combo" dx="15" fmlaLink="A101" fmlaRange="input!$B$25:$B$33" noThreeD="1" sel="7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checked="Checked" fmlaLink="A300" lockText="1" noThreeD="1"/>
</file>

<file path=xl/ctrlProps/ctrlProp17.xml><?xml version="1.0" encoding="utf-8"?>
<formControlPr xmlns="http://schemas.microsoft.com/office/spreadsheetml/2009/9/main" objectType="CheckBox" checked="Checked" fmlaLink="A301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GBox" noThreeD="1"/>
</file>

<file path=xl/ctrlProps/ctrlProp21.xml><?xml version="1.0" encoding="utf-8"?>
<formControlPr xmlns="http://schemas.microsoft.com/office/spreadsheetml/2009/9/main" objectType="Radio" firstButton="1" fmlaLink="A1003" lockText="1" noThreeD="1"/>
</file>

<file path=xl/ctrlProps/ctrlProp22.xml><?xml version="1.0" encoding="utf-8"?>
<formControlPr xmlns="http://schemas.microsoft.com/office/spreadsheetml/2009/9/main" objectType="Radio" checked="Checked" lockText="1" noThreeD="1"/>
</file>

<file path=xl/ctrlProps/ctrlProp23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66675</xdr:colOff>
      <xdr:row>6</xdr:row>
      <xdr:rowOff>38099</xdr:rowOff>
    </xdr:from>
    <xdr:to>
      <xdr:col>12</xdr:col>
      <xdr:colOff>581025</xdr:colOff>
      <xdr:row>25</xdr:row>
      <xdr:rowOff>152400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11975" t="13772" r="55359" b="48781"/>
        <a:stretch>
          <a:fillRect/>
        </a:stretch>
      </xdr:blipFill>
      <xdr:spPr bwMode="auto">
        <a:xfrm>
          <a:off x="2505075" y="1181099"/>
          <a:ext cx="5391150" cy="37338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215900</xdr:colOff>
          <xdr:row>27</xdr:row>
          <xdr:rowOff>50800</xdr:rowOff>
        </xdr:from>
        <xdr:to>
          <xdr:col>4</xdr:col>
          <xdr:colOff>196850</xdr:colOff>
          <xdr:row>30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customer and 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27</xdr:row>
          <xdr:rowOff>114300</xdr:rowOff>
        </xdr:from>
        <xdr:to>
          <xdr:col>12</xdr:col>
          <xdr:colOff>44450</xdr:colOff>
          <xdr:row>30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209550</xdr:colOff>
          <xdr:row>28</xdr:row>
          <xdr:rowOff>19050</xdr:rowOff>
        </xdr:from>
        <xdr:to>
          <xdr:col>9</xdr:col>
          <xdr:colOff>222250</xdr:colOff>
          <xdr:row>30</xdr:row>
          <xdr:rowOff>63500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27</xdr:row>
          <xdr:rowOff>63500</xdr:rowOff>
        </xdr:from>
        <xdr:to>
          <xdr:col>7</xdr:col>
          <xdr:colOff>19050</xdr:colOff>
          <xdr:row>30</xdr:row>
          <xdr:rowOff>88900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processing/invoice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533400</xdr:colOff>
      <xdr:row>0</xdr:row>
      <xdr:rowOff>0</xdr:rowOff>
    </xdr:from>
    <xdr:to>
      <xdr:col>3</xdr:col>
      <xdr:colOff>38100</xdr:colOff>
      <xdr:row>5</xdr:row>
      <xdr:rowOff>180975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330517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6</xdr:col>
      <xdr:colOff>1009650</xdr:colOff>
      <xdr:row>0</xdr:row>
      <xdr:rowOff>0</xdr:rowOff>
    </xdr:from>
    <xdr:to>
      <xdr:col>8</xdr:col>
      <xdr:colOff>323850</xdr:colOff>
      <xdr:row>5</xdr:row>
      <xdr:rowOff>180975</xdr:rowOff>
    </xdr:to>
    <xdr:pic>
      <xdr:nvPicPr>
        <xdr:cNvPr id="3" name="Picture 2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1052512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50800</xdr:rowOff>
        </xdr:from>
        <xdr:to>
          <xdr:col>2</xdr:col>
          <xdr:colOff>12700</xdr:colOff>
          <xdr:row>39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285750</xdr:colOff>
          <xdr:row>36</xdr:row>
          <xdr:rowOff>76200</xdr:rowOff>
        </xdr:from>
        <xdr:to>
          <xdr:col>1</xdr:col>
          <xdr:colOff>342900</xdr:colOff>
          <xdr:row>39</xdr:row>
          <xdr:rowOff>12700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processing/invoice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387350</xdr:colOff>
          <xdr:row>39</xdr:row>
          <xdr:rowOff>114300</xdr:rowOff>
        </xdr:from>
        <xdr:to>
          <xdr:col>1</xdr:col>
          <xdr:colOff>158750</xdr:colOff>
          <xdr:row>41</xdr:row>
          <xdr:rowOff>57150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switch 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215900</xdr:colOff>
          <xdr:row>39</xdr:row>
          <xdr:rowOff>88900</xdr:rowOff>
        </xdr:from>
        <xdr:to>
          <xdr:col>1</xdr:col>
          <xdr:colOff>1047750</xdr:colOff>
          <xdr:row>42</xdr:row>
          <xdr:rowOff>44450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1600200</xdr:colOff>
      <xdr:row>0</xdr:row>
      <xdr:rowOff>0</xdr:rowOff>
    </xdr:from>
    <xdr:to>
      <xdr:col>4</xdr:col>
      <xdr:colOff>152400</xdr:colOff>
      <xdr:row>5</xdr:row>
      <xdr:rowOff>180975</xdr:rowOff>
    </xdr:to>
    <xdr:pic>
      <xdr:nvPicPr>
        <xdr:cNvPr id="2" name="Picture 1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3714750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581025</xdr:colOff>
      <xdr:row>0</xdr:row>
      <xdr:rowOff>0</xdr:rowOff>
    </xdr:from>
    <xdr:to>
      <xdr:col>14</xdr:col>
      <xdr:colOff>228600</xdr:colOff>
      <xdr:row>5</xdr:row>
      <xdr:rowOff>180975</xdr:rowOff>
    </xdr:to>
    <xdr:pic>
      <xdr:nvPicPr>
        <xdr:cNvPr id="3" name="Picture 2" descr="C:\Users\D Sihra\AppData\Local\Microsoft\Windows\Temporary Internet Files\Low\Content.IE5\31R24HIF\IVEW_SECURITY_logo1[1]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lum contrast="9000"/>
        </a:blip>
        <a:srcRect l="7301" t="6610" r="51813" b="39880"/>
        <a:stretch>
          <a:fillRect/>
        </a:stretch>
      </xdr:blipFill>
      <xdr:spPr bwMode="auto">
        <a:xfrm>
          <a:off x="10106025" y="0"/>
          <a:ext cx="1476375" cy="1133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209550</xdr:colOff>
          <xdr:row>8</xdr:row>
          <xdr:rowOff>6350</xdr:rowOff>
        </xdr:from>
        <xdr:to>
          <xdr:col>2</xdr:col>
          <xdr:colOff>95250</xdr:colOff>
          <xdr:row>9</xdr:row>
          <xdr:rowOff>6350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4</xdr:row>
          <xdr:rowOff>120650</xdr:rowOff>
        </xdr:from>
        <xdr:to>
          <xdr:col>8</xdr:col>
          <xdr:colOff>349250</xdr:colOff>
          <xdr:row>6</xdr:row>
          <xdr:rowOff>120650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469900</xdr:colOff>
          <xdr:row>3</xdr:row>
          <xdr:rowOff>57150</xdr:rowOff>
        </xdr:from>
        <xdr:to>
          <xdr:col>6</xdr:col>
          <xdr:colOff>279400</xdr:colOff>
          <xdr:row>5</xdr:row>
          <xdr:rowOff>12700</xdr:rowOff>
        </xdr:to>
        <xdr:sp macro="" textlink="">
          <xdr:nvSpPr>
            <xdr:cNvPr id="5124" name="Drop Dow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196850</xdr:colOff>
          <xdr:row>19</xdr:row>
          <xdr:rowOff>57150</xdr:rowOff>
        </xdr:from>
        <xdr:to>
          <xdr:col>9</xdr:col>
          <xdr:colOff>400050</xdr:colOff>
          <xdr:row>21</xdr:row>
          <xdr:rowOff>19050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171450</xdr:colOff>
          <xdr:row>22</xdr:row>
          <xdr:rowOff>19050</xdr:rowOff>
        </xdr:from>
        <xdr:to>
          <xdr:col>11</xdr:col>
          <xdr:colOff>355600</xdr:colOff>
          <xdr:row>24</xdr:row>
          <xdr:rowOff>19050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2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101600</xdr:colOff>
          <xdr:row>19</xdr:row>
          <xdr:rowOff>44450</xdr:rowOff>
        </xdr:from>
        <xdr:to>
          <xdr:col>11</xdr:col>
          <xdr:colOff>234950</xdr:colOff>
          <xdr:row>21</xdr:row>
          <xdr:rowOff>12700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2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25</xdr:row>
          <xdr:rowOff>31750</xdr:rowOff>
        </xdr:from>
        <xdr:to>
          <xdr:col>9</xdr:col>
          <xdr:colOff>349250</xdr:colOff>
          <xdr:row>26</xdr:row>
          <xdr:rowOff>120650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2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10</xdr:row>
          <xdr:rowOff>0</xdr:rowOff>
        </xdr:from>
        <xdr:to>
          <xdr:col>10</xdr:col>
          <xdr:colOff>31750</xdr:colOff>
          <xdr:row>11</xdr:row>
          <xdr:rowOff>25400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2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delivery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400050</xdr:colOff>
          <xdr:row>10</xdr:row>
          <xdr:rowOff>0</xdr:rowOff>
        </xdr:from>
        <xdr:to>
          <xdr:col>11</xdr:col>
          <xdr:colOff>127000</xdr:colOff>
          <xdr:row>11</xdr:row>
          <xdr:rowOff>19050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2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installation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127000</xdr:colOff>
          <xdr:row>25</xdr:row>
          <xdr:rowOff>31750</xdr:rowOff>
        </xdr:from>
        <xdr:to>
          <xdr:col>12</xdr:col>
          <xdr:colOff>25400</xdr:colOff>
          <xdr:row>27</xdr:row>
          <xdr:rowOff>25400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2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107950</xdr:colOff>
          <xdr:row>22</xdr:row>
          <xdr:rowOff>6350</xdr:rowOff>
        </xdr:from>
        <xdr:to>
          <xdr:col>10</xdr:col>
          <xdr:colOff>44450</xdr:colOff>
          <xdr:row>24</xdr:row>
          <xdr:rowOff>25400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2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12</xdr:row>
          <xdr:rowOff>0</xdr:rowOff>
        </xdr:from>
        <xdr:to>
          <xdr:col>11</xdr:col>
          <xdr:colOff>241300</xdr:colOff>
          <xdr:row>18</xdr:row>
          <xdr:rowOff>38100</xdr:rowOff>
        </xdr:to>
        <xdr:sp macro="" textlink="">
          <xdr:nvSpPr>
            <xdr:cNvPr id="5136" name="Group Box 16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2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22860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Payment methods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25400</xdr:colOff>
          <xdr:row>15</xdr:row>
          <xdr:rowOff>38100</xdr:rowOff>
        </xdr:from>
        <xdr:to>
          <xdr:col>10</xdr:col>
          <xdr:colOff>311150</xdr:colOff>
          <xdr:row>16</xdr:row>
          <xdr:rowOff>57150</xdr:rowOff>
        </xdr:to>
        <xdr:sp macro="" textlink="">
          <xdr:nvSpPr>
            <xdr:cNvPr id="5137" name="Option Button 17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2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120650</xdr:rowOff>
        </xdr:from>
        <xdr:to>
          <xdr:col>10</xdr:col>
          <xdr:colOff>361950</xdr:colOff>
          <xdr:row>15</xdr:row>
          <xdr:rowOff>12700</xdr:rowOff>
        </xdr:to>
        <xdr:sp macro="" textlink="">
          <xdr:nvSpPr>
            <xdr:cNvPr id="5138" name="Option 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2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Debit card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12700</xdr:colOff>
          <xdr:row>12</xdr:row>
          <xdr:rowOff>76200</xdr:rowOff>
        </xdr:from>
        <xdr:to>
          <xdr:col>11</xdr:col>
          <xdr:colOff>57150</xdr:colOff>
          <xdr:row>13</xdr:row>
          <xdr:rowOff>95250</xdr:rowOff>
        </xdr:to>
        <xdr:sp macro="" textlink="">
          <xdr:nvSpPr>
            <xdr:cNvPr id="5139" name="Option Button 19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2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Cash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35"/>
  <sheetViews>
    <sheetView topLeftCell="A10" workbookViewId="0">
      <selection activeCell="I32" sqref="I32"/>
    </sheetView>
  </sheetViews>
  <sheetFormatPr defaultRowHeight="14.5" x14ac:dyDescent="0.35"/>
  <sheetData>
    <row r="1" spans="2:16" x14ac:dyDescent="0.35"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</row>
    <row r="2" spans="2:16" x14ac:dyDescent="0.35"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</row>
    <row r="3" spans="2:16" x14ac:dyDescent="0.35"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2:16" x14ac:dyDescent="0.35"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</row>
    <row r="5" spans="2:16" x14ac:dyDescent="0.35"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2:16" x14ac:dyDescent="0.35"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</row>
    <row r="7" spans="2:16" x14ac:dyDescent="0.3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</row>
    <row r="8" spans="2:16" x14ac:dyDescent="0.3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</row>
    <row r="9" spans="2:16" x14ac:dyDescent="0.35"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35"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</row>
    <row r="11" spans="2:16" x14ac:dyDescent="0.35"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</row>
    <row r="12" spans="2:16" x14ac:dyDescent="0.35"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2:16" x14ac:dyDescent="0.35"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2:16" x14ac:dyDescent="0.35"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2:16" x14ac:dyDescent="0.35"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2:16" x14ac:dyDescent="0.35"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2:16" x14ac:dyDescent="0.35"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2:16" x14ac:dyDescent="0.35"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2:16" x14ac:dyDescent="0.35"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2:16" x14ac:dyDescent="0.35"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2:16" x14ac:dyDescent="0.35"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2:16" x14ac:dyDescent="0.35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2:16" x14ac:dyDescent="0.35"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2:16" x14ac:dyDescent="0.35"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2:16" x14ac:dyDescent="0.35"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2:16" x14ac:dyDescent="0.35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2:16" x14ac:dyDescent="0.35"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2:16" x14ac:dyDescent="0.35"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2:16" x14ac:dyDescent="0.35"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2:16" x14ac:dyDescent="0.35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2:16" x14ac:dyDescent="0.35"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2:16" x14ac:dyDescent="0.35"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2:16" x14ac:dyDescent="0.35"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2:16" x14ac:dyDescent="0.35"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2:16" x14ac:dyDescent="0.35"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cro2">
                <anchor moveWithCells="1" sizeWithCells="1">
                  <from>
                    <xdr:col>2</xdr:col>
                    <xdr:colOff>215900</xdr:colOff>
                    <xdr:row>27</xdr:row>
                    <xdr:rowOff>50800</xdr:rowOff>
                  </from>
                  <to>
                    <xdr:col>4</xdr:col>
                    <xdr:colOff>196850</xdr:colOff>
                    <xdr:row>30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help1">
                <anchor moveWithCells="1" sizeWithCells="1">
                  <from>
                    <xdr:col>9</xdr:col>
                    <xdr:colOff>387350</xdr:colOff>
                    <xdr:row>27</xdr:row>
                    <xdr:rowOff>114300</xdr:rowOff>
                  </from>
                  <to>
                    <xdr:col>12</xdr:col>
                    <xdr:colOff>44450</xdr:colOff>
                    <xdr:row>30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FindFile">
                <anchor moveWithCells="1" sizeWithCells="1">
                  <from>
                    <xdr:col>7</xdr:col>
                    <xdr:colOff>209550</xdr:colOff>
                    <xdr:row>28</xdr:row>
                    <xdr:rowOff>19050</xdr:rowOff>
                  </from>
                  <to>
                    <xdr:col>9</xdr:col>
                    <xdr:colOff>222250</xdr:colOff>
                    <xdr:row>30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Button7_Click">
                <anchor moveWithCells="1" sizeWithCells="1">
                  <from>
                    <xdr:col>5</xdr:col>
                    <xdr:colOff>25400</xdr:colOff>
                    <xdr:row>27</xdr:row>
                    <xdr:rowOff>63500</xdr:rowOff>
                  </from>
                  <to>
                    <xdr:col>7</xdr:col>
                    <xdr:colOff>19050</xdr:colOff>
                    <xdr:row>30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47"/>
  <sheetViews>
    <sheetView topLeftCell="A20" workbookViewId="0">
      <selection activeCell="C29" sqref="C29"/>
    </sheetView>
  </sheetViews>
  <sheetFormatPr defaultRowHeight="14.5" x14ac:dyDescent="0.35"/>
  <cols>
    <col min="1" max="1" width="17.1796875" customWidth="1"/>
    <col min="2" max="2" width="24.453125" customWidth="1"/>
    <col min="3" max="3" width="29.54296875" customWidth="1"/>
    <col min="4" max="4" width="10.54296875" customWidth="1"/>
    <col min="5" max="5" width="10.7265625" customWidth="1"/>
    <col min="6" max="6" width="18.54296875" customWidth="1"/>
    <col min="7" max="7" width="18" customWidth="1"/>
    <col min="8" max="8" width="14.453125" customWidth="1"/>
    <col min="11" max="11" width="9.1796875" customWidth="1"/>
  </cols>
  <sheetData>
    <row r="1" spans="1:13" ht="15" customHeight="1" x14ac:dyDescent="0.35">
      <c r="A1" s="6"/>
      <c r="B1" s="6"/>
      <c r="C1" s="6"/>
      <c r="D1" s="53" t="s">
        <v>0</v>
      </c>
      <c r="E1" s="53"/>
      <c r="F1" s="53"/>
      <c r="G1" s="53"/>
      <c r="H1" s="9"/>
      <c r="I1" s="9"/>
      <c r="J1" s="1"/>
      <c r="K1" s="1"/>
      <c r="L1" s="1"/>
      <c r="M1" s="1"/>
    </row>
    <row r="2" spans="1:13" x14ac:dyDescent="0.35">
      <c r="A2" s="6"/>
      <c r="B2" s="6"/>
      <c r="C2" s="6"/>
      <c r="D2" s="53"/>
      <c r="E2" s="53"/>
      <c r="F2" s="53"/>
      <c r="G2" s="53"/>
      <c r="H2" s="9"/>
      <c r="I2" s="9"/>
      <c r="J2" s="1"/>
      <c r="K2" s="1"/>
      <c r="L2" s="1"/>
      <c r="M2" s="1"/>
    </row>
    <row r="3" spans="1:13" x14ac:dyDescent="0.35">
      <c r="A3" s="6"/>
      <c r="B3" s="6"/>
      <c r="C3" s="6"/>
      <c r="D3" s="6"/>
      <c r="E3" s="6"/>
      <c r="F3" s="6"/>
      <c r="G3" s="6"/>
      <c r="H3" s="6"/>
      <c r="I3" s="6"/>
    </row>
    <row r="4" spans="1:13" x14ac:dyDescent="0.35">
      <c r="A4" s="6"/>
      <c r="B4" s="6"/>
      <c r="C4" s="6"/>
      <c r="D4" s="6"/>
      <c r="E4" s="6" t="s">
        <v>1</v>
      </c>
      <c r="F4" s="7">
        <f ca="1">TODAY()</f>
        <v>43995</v>
      </c>
      <c r="G4" s="6"/>
      <c r="H4" s="6"/>
      <c r="I4" s="6"/>
    </row>
    <row r="5" spans="1:13" x14ac:dyDescent="0.35">
      <c r="A5" s="6"/>
      <c r="B5" s="6"/>
      <c r="C5" s="6"/>
      <c r="D5" s="6"/>
      <c r="E5" s="6"/>
      <c r="F5" s="6"/>
      <c r="G5" s="6"/>
      <c r="H5" s="6"/>
      <c r="I5" s="6"/>
    </row>
    <row r="6" spans="1:13" x14ac:dyDescent="0.35">
      <c r="A6" s="6"/>
      <c r="B6" s="6"/>
      <c r="C6" s="6"/>
      <c r="D6" s="6"/>
      <c r="E6" s="6"/>
      <c r="F6" s="6"/>
      <c r="G6" s="6"/>
      <c r="H6" s="6"/>
      <c r="I6" s="6"/>
    </row>
    <row r="7" spans="1:13" x14ac:dyDescent="0.35">
      <c r="A7" s="6" t="s">
        <v>1</v>
      </c>
      <c r="B7" s="7">
        <f ca="1">TODAY()</f>
        <v>43995</v>
      </c>
      <c r="C7" s="6"/>
      <c r="D7" s="6"/>
      <c r="E7" s="6"/>
      <c r="F7" s="6"/>
      <c r="G7" s="6"/>
      <c r="H7" s="6"/>
      <c r="I7" s="6"/>
    </row>
    <row r="8" spans="1:13" x14ac:dyDescent="0.35">
      <c r="A8" s="6"/>
      <c r="B8" s="6"/>
      <c r="C8" s="6"/>
      <c r="D8" s="6"/>
      <c r="E8" s="6"/>
      <c r="F8" s="6"/>
      <c r="G8" s="6"/>
      <c r="H8" s="6"/>
      <c r="I8" s="6"/>
    </row>
    <row r="9" spans="1:13" ht="15" thickBot="1" x14ac:dyDescent="0.4">
      <c r="A9" s="6" t="s">
        <v>9</v>
      </c>
      <c r="B9" s="8">
        <f ca="1">NOW()</f>
        <v>43995.775743171296</v>
      </c>
      <c r="C9" s="6"/>
      <c r="D9" s="6"/>
      <c r="E9" s="6"/>
      <c r="F9" s="6"/>
      <c r="G9" s="6"/>
      <c r="H9" s="6"/>
      <c r="I9" s="6"/>
    </row>
    <row r="10" spans="1:13" x14ac:dyDescent="0.35">
      <c r="A10" s="54" t="s">
        <v>8</v>
      </c>
      <c r="B10" s="55"/>
      <c r="C10" s="55"/>
      <c r="D10" s="55"/>
      <c r="E10" s="55"/>
      <c r="F10" s="55"/>
      <c r="G10" s="56"/>
      <c r="H10" s="10"/>
      <c r="I10" s="6"/>
    </row>
    <row r="11" spans="1:13" ht="15" customHeight="1" x14ac:dyDescent="0.35">
      <c r="A11" s="57"/>
      <c r="B11" s="58"/>
      <c r="C11" s="58"/>
      <c r="D11" s="58"/>
      <c r="E11" s="58"/>
      <c r="F11" s="58"/>
      <c r="G11" s="59"/>
      <c r="H11" s="11"/>
      <c r="I11" s="6"/>
    </row>
    <row r="12" spans="1:13" ht="15" thickBot="1" x14ac:dyDescent="0.4">
      <c r="A12" s="60"/>
      <c r="B12" s="61"/>
      <c r="C12" s="61"/>
      <c r="D12" s="61"/>
      <c r="E12" s="61"/>
      <c r="F12" s="61"/>
      <c r="G12" s="62"/>
      <c r="H12" s="11"/>
      <c r="I12" s="6"/>
    </row>
    <row r="13" spans="1:13" x14ac:dyDescent="0.35">
      <c r="A13" s="12" t="s">
        <v>7</v>
      </c>
      <c r="B13" s="13" t="s">
        <v>10</v>
      </c>
      <c r="C13" s="13" t="s">
        <v>2</v>
      </c>
      <c r="D13" s="13" t="s">
        <v>3</v>
      </c>
      <c r="E13" s="13" t="s">
        <v>6</v>
      </c>
      <c r="F13" s="13" t="s">
        <v>4</v>
      </c>
      <c r="G13" s="14" t="s">
        <v>5</v>
      </c>
      <c r="H13" s="10"/>
      <c r="I13" s="6"/>
    </row>
    <row r="14" spans="1:13" x14ac:dyDescent="0.35">
      <c r="A14" s="15">
        <v>1</v>
      </c>
      <c r="B14" s="16" t="s">
        <v>31</v>
      </c>
      <c r="C14" s="16" t="s">
        <v>49</v>
      </c>
      <c r="D14" s="16" t="s">
        <v>16</v>
      </c>
      <c r="E14" s="16" t="s">
        <v>19</v>
      </c>
      <c r="F14" s="16" t="s">
        <v>24</v>
      </c>
      <c r="G14" s="26" t="s">
        <v>53</v>
      </c>
      <c r="H14" s="10"/>
      <c r="I14" s="6"/>
    </row>
    <row r="15" spans="1:13" x14ac:dyDescent="0.35">
      <c r="A15" s="15">
        <v>2</v>
      </c>
      <c r="B15" s="16" t="s">
        <v>32</v>
      </c>
      <c r="C15" s="16" t="s">
        <v>48</v>
      </c>
      <c r="D15" s="16" t="s">
        <v>20</v>
      </c>
      <c r="E15" s="16" t="s">
        <v>21</v>
      </c>
      <c r="F15" s="16" t="s">
        <v>25</v>
      </c>
      <c r="G15" s="26" t="s">
        <v>54</v>
      </c>
      <c r="H15" s="10"/>
      <c r="I15" s="6"/>
    </row>
    <row r="16" spans="1:13" x14ac:dyDescent="0.35">
      <c r="A16" s="15">
        <v>3</v>
      </c>
      <c r="B16" s="16" t="s">
        <v>69</v>
      </c>
      <c r="C16" s="16" t="s">
        <v>50</v>
      </c>
      <c r="D16" s="16" t="s">
        <v>17</v>
      </c>
      <c r="E16" s="16" t="s">
        <v>22</v>
      </c>
      <c r="F16" s="16" t="s">
        <v>27</v>
      </c>
      <c r="G16" s="26" t="s">
        <v>55</v>
      </c>
      <c r="H16" s="10"/>
      <c r="I16" s="6"/>
    </row>
    <row r="17" spans="1:9" x14ac:dyDescent="0.35">
      <c r="A17" s="15">
        <v>4</v>
      </c>
      <c r="B17" s="16" t="s">
        <v>33</v>
      </c>
      <c r="C17" s="16" t="s">
        <v>51</v>
      </c>
      <c r="D17" s="16" t="s">
        <v>20</v>
      </c>
      <c r="E17" s="16" t="s">
        <v>23</v>
      </c>
      <c r="F17" s="16" t="s">
        <v>26</v>
      </c>
      <c r="G17" s="26" t="s">
        <v>56</v>
      </c>
      <c r="H17" s="10"/>
      <c r="I17" s="6"/>
    </row>
    <row r="18" spans="1:9" x14ac:dyDescent="0.35">
      <c r="A18" s="15">
        <v>5</v>
      </c>
      <c r="B18" s="16" t="s">
        <v>34</v>
      </c>
      <c r="C18" s="16" t="s">
        <v>52</v>
      </c>
      <c r="D18" s="16" t="s">
        <v>18</v>
      </c>
      <c r="E18" s="16" t="s">
        <v>28</v>
      </c>
      <c r="F18" s="16" t="s">
        <v>29</v>
      </c>
      <c r="G18" s="26" t="s">
        <v>57</v>
      </c>
      <c r="H18" s="10"/>
      <c r="I18" s="6"/>
    </row>
    <row r="19" spans="1:9" x14ac:dyDescent="0.35">
      <c r="A19" s="15"/>
      <c r="B19" s="16"/>
      <c r="C19" s="16"/>
      <c r="D19" s="16"/>
      <c r="E19" s="16"/>
      <c r="F19" s="16"/>
      <c r="G19" s="17"/>
      <c r="H19" s="6"/>
      <c r="I19" s="6"/>
    </row>
    <row r="20" spans="1:9" ht="15" thickBot="1" x14ac:dyDescent="0.4">
      <c r="A20" s="18"/>
      <c r="B20" s="19"/>
      <c r="C20" s="19"/>
      <c r="D20" s="19"/>
      <c r="E20" s="19"/>
      <c r="F20" s="19"/>
      <c r="G20" s="20"/>
      <c r="H20" s="6"/>
      <c r="I20" s="6"/>
    </row>
    <row r="21" spans="1:9" ht="15" thickBot="1" x14ac:dyDescent="0.4">
      <c r="A21" s="6"/>
      <c r="B21" s="6"/>
      <c r="C21" s="6"/>
      <c r="D21" s="6"/>
      <c r="E21" s="6"/>
      <c r="F21" s="6"/>
      <c r="G21" s="6"/>
      <c r="H21" s="6"/>
      <c r="I21" s="6"/>
    </row>
    <row r="22" spans="1:9" ht="15" customHeight="1" x14ac:dyDescent="0.35">
      <c r="A22" s="63" t="s">
        <v>15</v>
      </c>
      <c r="B22" s="64"/>
      <c r="C22" s="64"/>
      <c r="D22" s="64"/>
      <c r="E22" s="64"/>
      <c r="F22" s="65"/>
      <c r="G22" s="11"/>
      <c r="H22" s="6"/>
      <c r="I22" s="6"/>
    </row>
    <row r="23" spans="1:9" x14ac:dyDescent="0.35">
      <c r="A23" s="66"/>
      <c r="B23" s="67"/>
      <c r="C23" s="67"/>
      <c r="D23" s="67"/>
      <c r="E23" s="67"/>
      <c r="F23" s="68"/>
      <c r="G23" s="11"/>
      <c r="H23" s="6"/>
      <c r="I23" s="6"/>
    </row>
    <row r="24" spans="1:9" x14ac:dyDescent="0.35">
      <c r="A24" s="21" t="s">
        <v>44</v>
      </c>
      <c r="B24" s="21" t="s">
        <v>43</v>
      </c>
      <c r="C24" s="21" t="s">
        <v>12</v>
      </c>
      <c r="D24" s="21" t="s">
        <v>13</v>
      </c>
      <c r="E24" s="21" t="s">
        <v>11</v>
      </c>
      <c r="F24" s="21" t="s">
        <v>14</v>
      </c>
      <c r="G24" s="10"/>
      <c r="H24" s="6"/>
      <c r="I24" s="6"/>
    </row>
    <row r="25" spans="1:9" x14ac:dyDescent="0.35">
      <c r="A25" s="16">
        <v>1</v>
      </c>
      <c r="B25" s="16" t="s">
        <v>36</v>
      </c>
      <c r="C25" s="16" t="s">
        <v>35</v>
      </c>
      <c r="D25" s="16">
        <v>2</v>
      </c>
      <c r="E25" s="25">
        <f>A25*100</f>
        <v>100</v>
      </c>
      <c r="F25" s="25">
        <f>A25*100</f>
        <v>100</v>
      </c>
      <c r="G25" s="10"/>
      <c r="H25" s="6"/>
      <c r="I25" s="6"/>
    </row>
    <row r="26" spans="1:9" x14ac:dyDescent="0.35">
      <c r="A26" s="16">
        <v>2</v>
      </c>
      <c r="B26" s="16" t="s">
        <v>37</v>
      </c>
      <c r="C26" s="16" t="s">
        <v>35</v>
      </c>
      <c r="D26" s="16">
        <f>A26*2</f>
        <v>4</v>
      </c>
      <c r="E26" s="25">
        <v>200</v>
      </c>
      <c r="F26" s="25">
        <v>200</v>
      </c>
      <c r="G26" s="6"/>
      <c r="H26" s="6"/>
      <c r="I26" s="6"/>
    </row>
    <row r="27" spans="1:9" x14ac:dyDescent="0.35">
      <c r="A27" s="16">
        <v>3</v>
      </c>
      <c r="B27" s="16" t="s">
        <v>38</v>
      </c>
      <c r="C27" s="16" t="s">
        <v>35</v>
      </c>
      <c r="D27" s="16">
        <v>3</v>
      </c>
      <c r="E27" s="25">
        <v>500</v>
      </c>
      <c r="F27" s="25">
        <v>500</v>
      </c>
      <c r="G27" s="6"/>
      <c r="H27" s="6"/>
      <c r="I27" s="6"/>
    </row>
    <row r="28" spans="1:9" x14ac:dyDescent="0.35">
      <c r="A28" s="16">
        <v>4</v>
      </c>
      <c r="B28" s="16" t="s">
        <v>46</v>
      </c>
      <c r="C28" s="16" t="s">
        <v>35</v>
      </c>
      <c r="D28" s="16">
        <v>3</v>
      </c>
      <c r="E28" s="25">
        <v>100</v>
      </c>
      <c r="F28" s="25">
        <v>100</v>
      </c>
      <c r="G28" s="6"/>
      <c r="H28" s="6"/>
      <c r="I28" s="6"/>
    </row>
    <row r="29" spans="1:9" x14ac:dyDescent="0.35">
      <c r="A29" s="16">
        <v>5</v>
      </c>
      <c r="B29" s="16" t="s">
        <v>39</v>
      </c>
      <c r="C29" s="16" t="s">
        <v>35</v>
      </c>
      <c r="D29" s="16">
        <v>2</v>
      </c>
      <c r="E29" s="25">
        <v>500</v>
      </c>
      <c r="F29" s="25">
        <v>500</v>
      </c>
      <c r="G29" s="6"/>
      <c r="H29" s="6"/>
      <c r="I29" s="6"/>
    </row>
    <row r="30" spans="1:9" x14ac:dyDescent="0.35">
      <c r="A30" s="16">
        <v>6</v>
      </c>
      <c r="B30" s="16" t="s">
        <v>40</v>
      </c>
      <c r="C30" s="16" t="s">
        <v>35</v>
      </c>
      <c r="D30" s="16">
        <v>3</v>
      </c>
      <c r="E30" s="25">
        <v>200</v>
      </c>
      <c r="F30" s="25">
        <v>200</v>
      </c>
      <c r="G30" s="6"/>
      <c r="H30" s="6"/>
      <c r="I30" s="6"/>
    </row>
    <row r="31" spans="1:9" ht="29" x14ac:dyDescent="0.35">
      <c r="A31" s="16">
        <v>7</v>
      </c>
      <c r="B31" s="22" t="s">
        <v>47</v>
      </c>
      <c r="C31" s="16" t="s">
        <v>35</v>
      </c>
      <c r="D31" s="16">
        <v>2</v>
      </c>
      <c r="E31" s="25">
        <v>100</v>
      </c>
      <c r="F31" s="25">
        <v>100</v>
      </c>
      <c r="G31" s="6"/>
      <c r="H31" s="6"/>
      <c r="I31" s="6"/>
    </row>
    <row r="32" spans="1:9" x14ac:dyDescent="0.35">
      <c r="A32" s="16">
        <v>8</v>
      </c>
      <c r="B32" s="16" t="s">
        <v>41</v>
      </c>
      <c r="C32" s="16" t="s">
        <v>35</v>
      </c>
      <c r="D32" s="16">
        <v>2</v>
      </c>
      <c r="E32" s="25">
        <v>150</v>
      </c>
      <c r="F32" s="25">
        <v>150</v>
      </c>
      <c r="G32" s="6"/>
      <c r="H32" s="6"/>
      <c r="I32" s="6"/>
    </row>
    <row r="33" spans="1:9" x14ac:dyDescent="0.35">
      <c r="A33" s="16">
        <v>9</v>
      </c>
      <c r="B33" s="16" t="s">
        <v>42</v>
      </c>
      <c r="C33" s="16" t="s">
        <v>35</v>
      </c>
      <c r="D33" s="16">
        <v>1</v>
      </c>
      <c r="E33" s="25">
        <f>100</f>
        <v>100</v>
      </c>
      <c r="F33" s="25">
        <f>100</f>
        <v>100</v>
      </c>
      <c r="G33" s="6"/>
      <c r="H33" s="6"/>
      <c r="I33" s="6"/>
    </row>
    <row r="34" spans="1:9" x14ac:dyDescent="0.35">
      <c r="A34" s="6"/>
      <c r="B34" s="6"/>
      <c r="C34" s="6"/>
      <c r="D34" s="6"/>
      <c r="E34" s="6"/>
      <c r="F34" s="6"/>
      <c r="G34" s="6"/>
      <c r="H34" s="6"/>
      <c r="I34" s="6"/>
    </row>
    <row r="35" spans="1:9" x14ac:dyDescent="0.35">
      <c r="A35" s="6"/>
      <c r="B35" s="6"/>
      <c r="C35" s="6"/>
      <c r="D35" s="6"/>
      <c r="E35" s="6"/>
      <c r="F35" s="6"/>
      <c r="G35" s="6"/>
      <c r="H35" s="6"/>
      <c r="I35" s="6"/>
    </row>
    <row r="36" spans="1:9" x14ac:dyDescent="0.35">
      <c r="A36" s="6"/>
      <c r="B36" s="6"/>
      <c r="C36" s="6"/>
      <c r="D36" s="6"/>
      <c r="E36" s="6"/>
      <c r="F36" s="6"/>
      <c r="G36" s="6"/>
      <c r="H36" s="6"/>
      <c r="I36" s="6"/>
    </row>
    <row r="37" spans="1:9" x14ac:dyDescent="0.35">
      <c r="A37" s="6"/>
      <c r="B37" s="23"/>
      <c r="C37" s="23"/>
      <c r="D37" s="6"/>
      <c r="E37" s="6"/>
      <c r="F37" s="6"/>
      <c r="G37" s="6"/>
      <c r="H37" s="6"/>
      <c r="I37" s="6"/>
    </row>
    <row r="38" spans="1:9" x14ac:dyDescent="0.35">
      <c r="A38" s="6"/>
      <c r="B38" s="6"/>
      <c r="C38" s="24"/>
      <c r="D38" s="6"/>
      <c r="E38" s="6"/>
      <c r="F38" s="6"/>
      <c r="G38" s="6"/>
      <c r="H38" s="6"/>
      <c r="I38" s="6"/>
    </row>
    <row r="39" spans="1:9" x14ac:dyDescent="0.35">
      <c r="A39" s="6"/>
      <c r="B39" s="6"/>
      <c r="C39" s="24"/>
      <c r="D39" s="6"/>
      <c r="E39" s="6"/>
      <c r="F39" s="6"/>
      <c r="G39" s="6"/>
      <c r="H39" s="6"/>
      <c r="I39" s="6"/>
    </row>
    <row r="40" spans="1:9" x14ac:dyDescent="0.35">
      <c r="A40" s="6"/>
      <c r="B40" s="6"/>
      <c r="C40" s="6"/>
      <c r="D40" s="6"/>
      <c r="E40" s="6"/>
      <c r="F40" s="6"/>
      <c r="G40" s="6"/>
      <c r="H40" s="6"/>
      <c r="I40" s="6"/>
    </row>
    <row r="41" spans="1:9" x14ac:dyDescent="0.35">
      <c r="A41" s="6"/>
      <c r="B41" s="6"/>
      <c r="C41" s="6"/>
      <c r="D41" s="6"/>
      <c r="E41" s="6"/>
      <c r="F41" s="6"/>
      <c r="G41" s="6"/>
      <c r="H41" s="6"/>
      <c r="I41" s="6"/>
    </row>
    <row r="42" spans="1:9" x14ac:dyDescent="0.35">
      <c r="A42" s="6"/>
      <c r="B42" s="6"/>
      <c r="C42" s="6"/>
      <c r="D42" s="6"/>
      <c r="E42" s="6"/>
      <c r="F42" s="6"/>
      <c r="G42" s="6"/>
      <c r="H42" s="6"/>
      <c r="I42" s="6"/>
    </row>
    <row r="43" spans="1:9" x14ac:dyDescent="0.35">
      <c r="A43" s="6"/>
      <c r="B43" s="6"/>
      <c r="C43" s="6"/>
      <c r="D43" s="6"/>
      <c r="E43" s="6"/>
      <c r="F43" s="6"/>
      <c r="G43" s="6"/>
      <c r="H43" s="6"/>
      <c r="I43" s="6"/>
    </row>
    <row r="44" spans="1:9" x14ac:dyDescent="0.35">
      <c r="A44" s="6"/>
      <c r="B44" s="6"/>
      <c r="C44" s="6"/>
      <c r="D44" s="6"/>
      <c r="E44" s="6"/>
      <c r="F44" s="6"/>
      <c r="G44" s="6"/>
      <c r="H44" s="6"/>
      <c r="I44" s="6"/>
    </row>
    <row r="45" spans="1:9" x14ac:dyDescent="0.35">
      <c r="A45" s="6"/>
      <c r="B45" s="6"/>
      <c r="C45" s="6"/>
      <c r="D45" s="6"/>
      <c r="E45" s="6"/>
      <c r="F45" s="6"/>
      <c r="G45" s="6"/>
      <c r="H45" s="6"/>
      <c r="I45" s="6"/>
    </row>
    <row r="47" spans="1:9" x14ac:dyDescent="0.35">
      <c r="C47" t="s">
        <v>30</v>
      </c>
    </row>
  </sheetData>
  <mergeCells count="3">
    <mergeCell ref="D1:G2"/>
    <mergeCell ref="A10:G12"/>
    <mergeCell ref="A22:F23"/>
  </mergeCells>
  <dataValidations count="1">
    <dataValidation type="whole" allowBlank="1" showInputMessage="1" showErrorMessage="1" errorTitle="iview security " error="please enter a price between £100 and £500" promptTitle="iveiw security" prompt="please enter the unit price of the product between £100-£500_x000a_" sqref="E25:E33" xr:uid="{00000000-0002-0000-0100-000000000000}">
      <formula1>100</formula1>
      <formula2>500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help1">
                <anchor moveWithCells="1" sizeWithCells="1">
                  <from>
                    <xdr:col>1</xdr:col>
                    <xdr:colOff>419100</xdr:colOff>
                    <xdr:row>36</xdr:row>
                    <xdr:rowOff>50800</xdr:rowOff>
                  </from>
                  <to>
                    <xdr:col>2</xdr:col>
                    <xdr:colOff>12700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Button5_Click">
                <anchor moveWithCells="1" sizeWithCells="1">
                  <from>
                    <xdr:col>0</xdr:col>
                    <xdr:colOff>285750</xdr:colOff>
                    <xdr:row>36</xdr:row>
                    <xdr:rowOff>76200</xdr:rowOff>
                  </from>
                  <to>
                    <xdr:col>1</xdr:col>
                    <xdr:colOff>342900</xdr:colOff>
                    <xdr:row>39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Button6_Click">
                <anchor moveWithCells="1" sizeWithCells="1">
                  <from>
                    <xdr:col>0</xdr:col>
                    <xdr:colOff>387350</xdr:colOff>
                    <xdr:row>39</xdr:row>
                    <xdr:rowOff>114300</xdr:rowOff>
                  </from>
                  <to>
                    <xdr:col>1</xdr:col>
                    <xdr:colOff>158750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save1">
                <anchor moveWithCells="1" sizeWithCells="1">
                  <from>
                    <xdr:col>1</xdr:col>
                    <xdr:colOff>215900</xdr:colOff>
                    <xdr:row>39</xdr:row>
                    <xdr:rowOff>88900</xdr:rowOff>
                  </from>
                  <to>
                    <xdr:col>1</xdr:col>
                    <xdr:colOff>1047750</xdr:colOff>
                    <xdr:row>42</xdr:row>
                    <xdr:rowOff>44450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L1003"/>
  <sheetViews>
    <sheetView tabSelected="1" topLeftCell="A4" workbookViewId="0">
      <selection activeCell="J28" sqref="J28"/>
    </sheetView>
  </sheetViews>
  <sheetFormatPr defaultRowHeight="14.5" x14ac:dyDescent="0.35"/>
  <cols>
    <col min="2" max="2" width="25.54296875" customWidth="1"/>
    <col min="3" max="3" width="26" customWidth="1"/>
    <col min="4" max="4" width="17.81640625" customWidth="1"/>
    <col min="5" max="5" width="15.1796875" customWidth="1"/>
    <col min="6" max="6" width="13.26953125" customWidth="1"/>
    <col min="7" max="7" width="17.26953125" customWidth="1"/>
    <col min="8" max="8" width="10.453125" customWidth="1"/>
  </cols>
  <sheetData>
    <row r="1" spans="2:12" x14ac:dyDescent="0.35">
      <c r="E1" s="69" t="s">
        <v>0</v>
      </c>
      <c r="F1" s="70"/>
      <c r="G1" s="70"/>
      <c r="H1" s="70"/>
      <c r="I1" s="70"/>
      <c r="J1" s="70"/>
      <c r="K1" s="70"/>
      <c r="L1" s="70"/>
    </row>
    <row r="2" spans="2:12" x14ac:dyDescent="0.35">
      <c r="E2" s="70"/>
      <c r="F2" s="70"/>
      <c r="G2" s="70"/>
      <c r="H2" s="70"/>
      <c r="I2" s="70"/>
      <c r="J2" s="70"/>
      <c r="K2" s="70"/>
      <c r="L2" s="70"/>
    </row>
    <row r="7" spans="2:12" x14ac:dyDescent="0.35">
      <c r="E7" s="2"/>
      <c r="J7">
        <v>1</v>
      </c>
    </row>
    <row r="8" spans="2:12" x14ac:dyDescent="0.35">
      <c r="D8" s="27"/>
    </row>
    <row r="9" spans="2:12" ht="23.5" x14ac:dyDescent="0.55000000000000004">
      <c r="B9" s="29"/>
      <c r="C9" s="29"/>
    </row>
    <row r="10" spans="2:12" ht="15" thickBot="1" x14ac:dyDescent="0.4"/>
    <row r="11" spans="2:12" x14ac:dyDescent="0.35">
      <c r="B11" s="35" t="s">
        <v>58</v>
      </c>
      <c r="C11" s="36" t="s">
        <v>59</v>
      </c>
      <c r="D11" s="37" t="s">
        <v>60</v>
      </c>
      <c r="E11" s="37" t="s">
        <v>61</v>
      </c>
      <c r="F11" s="38" t="s">
        <v>62</v>
      </c>
      <c r="G11" s="38" t="s">
        <v>63</v>
      </c>
      <c r="H11" s="39" t="s">
        <v>45</v>
      </c>
    </row>
    <row r="12" spans="2:12" x14ac:dyDescent="0.35">
      <c r="B12" s="40" t="str">
        <f>VLOOKUP($A$100,Customer_details,2)</f>
        <v>Amrit Kalsi</v>
      </c>
      <c r="C12" s="31">
        <v>7</v>
      </c>
      <c r="D12" s="31" t="s">
        <v>47</v>
      </c>
      <c r="E12" s="31">
        <v>1</v>
      </c>
      <c r="F12" s="31">
        <v>2</v>
      </c>
      <c r="G12" s="33">
        <v>100</v>
      </c>
      <c r="H12" s="41">
        <f t="shared" ref="H12:H22" si="0">G12*E12</f>
        <v>100</v>
      </c>
    </row>
    <row r="13" spans="2:12" x14ac:dyDescent="0.35">
      <c r="B13" s="40" t="str">
        <f>VLOOKUP($A$100,Customer_details,3)</f>
        <v>44,Yellow road</v>
      </c>
      <c r="C13" s="30"/>
      <c r="D13" s="31"/>
      <c r="E13" s="30"/>
      <c r="F13" s="30"/>
      <c r="G13" s="33"/>
      <c r="H13" s="41">
        <f t="shared" si="0"/>
        <v>0</v>
      </c>
    </row>
    <row r="14" spans="2:12" x14ac:dyDescent="0.35">
      <c r="B14" s="40" t="str">
        <f>VLOOKUP($A$100,Customer_details,4)</f>
        <v>ealing</v>
      </c>
      <c r="C14" s="32"/>
      <c r="D14" s="31"/>
      <c r="E14" s="31"/>
      <c r="F14" s="31"/>
      <c r="G14" s="33"/>
      <c r="H14" s="41">
        <f t="shared" si="0"/>
        <v>0</v>
      </c>
    </row>
    <row r="15" spans="2:12" x14ac:dyDescent="0.35">
      <c r="B15" s="40" t="str">
        <f>VLOOKUP($A$100,Customer_details,5)</f>
        <v>ub65ty</v>
      </c>
      <c r="C15" s="31"/>
      <c r="D15" s="31"/>
      <c r="E15" s="31"/>
      <c r="F15" s="31"/>
      <c r="G15" s="33"/>
      <c r="H15" s="41">
        <f t="shared" si="0"/>
        <v>0</v>
      </c>
    </row>
    <row r="16" spans="2:12" x14ac:dyDescent="0.35">
      <c r="B16" s="40" t="str">
        <f>VLOOKUP($A$100,Customer_details,6)</f>
        <v>0289-647-8940</v>
      </c>
      <c r="C16" s="31"/>
      <c r="D16" s="31"/>
      <c r="E16" s="31"/>
      <c r="F16" s="31"/>
      <c r="G16" s="33"/>
      <c r="H16" s="41">
        <f t="shared" si="0"/>
        <v>0</v>
      </c>
    </row>
    <row r="17" spans="2:8" x14ac:dyDescent="0.35">
      <c r="B17" s="40" t="str">
        <f>VLOOKUP($A$100,Customer_details,7)</f>
        <v>07945767893</v>
      </c>
      <c r="C17" s="31"/>
      <c r="D17" s="31"/>
      <c r="E17" s="31"/>
      <c r="F17" s="31"/>
      <c r="G17" s="33"/>
      <c r="H17" s="41">
        <f t="shared" si="0"/>
        <v>0</v>
      </c>
    </row>
    <row r="18" spans="2:8" x14ac:dyDescent="0.35">
      <c r="B18" s="42"/>
      <c r="C18" s="31"/>
      <c r="D18" s="31"/>
      <c r="E18" s="31"/>
      <c r="F18" s="31"/>
      <c r="G18" s="33"/>
      <c r="H18" s="41">
        <f t="shared" si="0"/>
        <v>0</v>
      </c>
    </row>
    <row r="19" spans="2:8" x14ac:dyDescent="0.35">
      <c r="B19" s="42"/>
      <c r="C19" s="31"/>
      <c r="D19" s="31"/>
      <c r="E19" s="31"/>
      <c r="F19" s="31"/>
      <c r="G19" s="33"/>
      <c r="H19" s="41">
        <f t="shared" si="0"/>
        <v>0</v>
      </c>
    </row>
    <row r="20" spans="2:8" x14ac:dyDescent="0.35">
      <c r="B20" s="42"/>
      <c r="C20" s="31"/>
      <c r="D20" s="31"/>
      <c r="E20" s="31"/>
      <c r="F20" s="31"/>
      <c r="G20" s="33"/>
      <c r="H20" s="41">
        <f t="shared" si="0"/>
        <v>0</v>
      </c>
    </row>
    <row r="21" spans="2:8" x14ac:dyDescent="0.35">
      <c r="B21" s="42"/>
      <c r="C21" s="31"/>
      <c r="D21" s="31"/>
      <c r="E21" s="31"/>
      <c r="F21" s="31"/>
      <c r="G21" s="33"/>
      <c r="H21" s="41">
        <f t="shared" si="0"/>
        <v>0</v>
      </c>
    </row>
    <row r="22" spans="2:8" ht="15" thickBot="1" x14ac:dyDescent="0.4">
      <c r="B22" s="43"/>
      <c r="C22" s="44"/>
      <c r="D22" s="44"/>
      <c r="E22" s="44"/>
      <c r="F22" s="44"/>
      <c r="G22" s="45"/>
      <c r="H22" s="46">
        <f t="shared" si="0"/>
        <v>0</v>
      </c>
    </row>
    <row r="23" spans="2:8" x14ac:dyDescent="0.35">
      <c r="B23" s="4"/>
      <c r="C23" s="4"/>
      <c r="D23" s="4"/>
      <c r="E23" s="4"/>
      <c r="F23" s="4"/>
      <c r="G23" s="47" t="s">
        <v>64</v>
      </c>
      <c r="H23" s="50">
        <f>H12+H13+H14+H15+H16+H17+H18+H19+H20+H21+H22</f>
        <v>100</v>
      </c>
    </row>
    <row r="24" spans="2:8" x14ac:dyDescent="0.35">
      <c r="B24" s="4"/>
      <c r="C24" s="4"/>
      <c r="D24" s="4"/>
      <c r="E24" s="4"/>
      <c r="F24" s="4"/>
      <c r="G24" s="42" t="s">
        <v>65</v>
      </c>
      <c r="H24" s="48">
        <f>IF(A300=TRUE,10,0)</f>
        <v>10</v>
      </c>
    </row>
    <row r="25" spans="2:8" x14ac:dyDescent="0.35">
      <c r="B25" s="4"/>
      <c r="C25" s="4"/>
      <c r="D25" s="3"/>
      <c r="E25" s="28"/>
      <c r="F25" s="4"/>
      <c r="G25" s="42" t="s">
        <v>66</v>
      </c>
      <c r="H25" s="52">
        <f>IF(A301=TRUE,50,0)</f>
        <v>50</v>
      </c>
    </row>
    <row r="26" spans="2:8" x14ac:dyDescent="0.35">
      <c r="B26" s="4"/>
      <c r="C26" s="4"/>
      <c r="D26" s="3"/>
      <c r="E26" s="28"/>
      <c r="F26" s="4"/>
      <c r="G26" s="40" t="s">
        <v>67</v>
      </c>
      <c r="H26" s="52">
        <f>IF(A1003=1,4,IF(A1003=2,2,0))</f>
        <v>2</v>
      </c>
    </row>
    <row r="27" spans="2:8" x14ac:dyDescent="0.35">
      <c r="B27" s="4"/>
      <c r="C27" s="4"/>
      <c r="D27" s="3"/>
      <c r="E27" s="28"/>
      <c r="F27" s="4"/>
      <c r="G27" s="42"/>
      <c r="H27" s="49"/>
    </row>
    <row r="28" spans="2:8" ht="15" thickBot="1" x14ac:dyDescent="0.4">
      <c r="C28" s="4"/>
      <c r="D28" s="3"/>
      <c r="E28" s="28"/>
      <c r="F28" s="4"/>
      <c r="G28" s="43" t="s">
        <v>68</v>
      </c>
      <c r="H28" s="51">
        <f>H23+H24+H25+H26</f>
        <v>162</v>
      </c>
    </row>
    <row r="40" spans="3:7" x14ac:dyDescent="0.35">
      <c r="C40">
        <f>VLOOKUP($A$101,product_detailsnew,1)</f>
        <v>7</v>
      </c>
      <c r="D40" s="27" t="str">
        <f>VLOOKUP($A$101,product_detailsnew,2)</f>
        <v>pir  (passive infa red) detectors for Alarms</v>
      </c>
      <c r="E40">
        <f>J7</f>
        <v>1</v>
      </c>
      <c r="F40" s="27">
        <f>VLOOKUP($A$101,product_detailsnew,4)</f>
        <v>2</v>
      </c>
      <c r="G40" s="34">
        <f>VLOOKUP($A$101,product_detailsnew,6)</f>
        <v>100</v>
      </c>
    </row>
    <row r="100" spans="1:1" x14ac:dyDescent="0.35">
      <c r="A100">
        <v>2</v>
      </c>
    </row>
    <row r="101" spans="1:1" x14ac:dyDescent="0.35">
      <c r="A101">
        <v>7</v>
      </c>
    </row>
    <row r="300" spans="1:1" x14ac:dyDescent="0.35">
      <c r="A300" t="b">
        <v>1</v>
      </c>
    </row>
    <row r="301" spans="1:1" x14ac:dyDescent="0.35">
      <c r="A301" t="b">
        <v>1</v>
      </c>
    </row>
    <row r="1003" spans="1:1" x14ac:dyDescent="0.35">
      <c r="A1003">
        <v>2</v>
      </c>
    </row>
  </sheetData>
  <mergeCells count="1">
    <mergeCell ref="E1:L2"/>
  </mergeCells>
  <dataValidations count="1">
    <dataValidation type="whole" allowBlank="1" showInputMessage="1" showErrorMessage="1" errorTitle="iview security" error="enter a number between 1 and 2000" promptTitle="iview security" prompt="please enter the units the customer requires which is between 1-2000" sqref="J7" xr:uid="{00000000-0002-0000-0200-000000000000}">
      <formula1>1</formula1>
      <formula2>2000</formula2>
    </dataValidation>
  </dataValidation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defaultSize="0" autoLine="0" autoPict="0">
                <anchor moveWithCells="1">
                  <from>
                    <xdr:col>0</xdr:col>
                    <xdr:colOff>209550</xdr:colOff>
                    <xdr:row>8</xdr:row>
                    <xdr:rowOff>6350</xdr:rowOff>
                  </from>
                  <to>
                    <xdr:col>2</xdr:col>
                    <xdr:colOff>95250</xdr:colOff>
                    <xdr:row>9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pinner 3">
              <controlPr defaultSize="0" autoPict="0">
                <anchor moveWithCells="1" sizeWithCells="1">
                  <from>
                    <xdr:col>6</xdr:col>
                    <xdr:colOff>285750</xdr:colOff>
                    <xdr:row>4</xdr:row>
                    <xdr:rowOff>120650</xdr:rowOff>
                  </from>
                  <to>
                    <xdr:col>8</xdr:col>
                    <xdr:colOff>349250</xdr:colOff>
                    <xdr:row>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Drop Down 4">
              <controlPr defaultSize="0" autoLine="0" autoPict="0">
                <anchor moveWithCells="1">
                  <from>
                    <xdr:col>4</xdr:col>
                    <xdr:colOff>469900</xdr:colOff>
                    <xdr:row>3</xdr:row>
                    <xdr:rowOff>57150</xdr:rowOff>
                  </from>
                  <to>
                    <xdr:col>6</xdr:col>
                    <xdr:colOff>279400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SelectProd">
                <anchor moveWithCells="1" sizeWithCells="1">
                  <from>
                    <xdr:col>8</xdr:col>
                    <xdr:colOff>196850</xdr:colOff>
                    <xdr:row>19</xdr:row>
                    <xdr:rowOff>57150</xdr:rowOff>
                  </from>
                  <to>
                    <xdr:col>9</xdr:col>
                    <xdr:colOff>400050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help1">
                <anchor moveWithCells="1" sizeWithCells="1">
                  <from>
                    <xdr:col>10</xdr:col>
                    <xdr:colOff>171450</xdr:colOff>
                    <xdr:row>22</xdr:row>
                    <xdr:rowOff>19050</xdr:rowOff>
                  </from>
                  <to>
                    <xdr:col>11</xdr:col>
                    <xdr:colOff>355600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FindFile">
                <anchor moveWithCells="1" sizeWithCells="1">
                  <from>
                    <xdr:col>10</xdr:col>
                    <xdr:colOff>101600</xdr:colOff>
                    <xdr:row>19</xdr:row>
                    <xdr:rowOff>44450</xdr:rowOff>
                  </from>
                  <to>
                    <xdr:col>11</xdr:col>
                    <xdr:colOff>234950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10">
              <controlPr defaultSize="0" print="0" autoFill="0" autoPict="0" macro="[0]!_xludf.clear">
                <anchor moveWithCells="1" sizeWithCells="1">
                  <from>
                    <xdr:col>8</xdr:col>
                    <xdr:colOff>133350</xdr:colOff>
                    <xdr:row>25</xdr:row>
                    <xdr:rowOff>31750</xdr:rowOff>
                  </from>
                  <to>
                    <xdr:col>9</xdr:col>
                    <xdr:colOff>349250</xdr:colOff>
                    <xdr:row>26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1" name="Check Box 11">
              <controlPr defaultSize="0" autoFill="0" autoLine="0" autoPict="0">
                <anchor mov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31750</xdr:colOff>
                    <xdr:row>11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2" name="Check Box 12">
              <controlPr defaultSize="0" autoFill="0" autoLine="0" autoPict="0">
                <anchor moveWithCells="1">
                  <from>
                    <xdr:col>9</xdr:col>
                    <xdr:colOff>400050</xdr:colOff>
                    <xdr:row>10</xdr:row>
                    <xdr:rowOff>0</xdr:rowOff>
                  </from>
                  <to>
                    <xdr:col>11</xdr:col>
                    <xdr:colOff>127000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3" name="Button 13">
              <controlPr defaultSize="0" print="0" autoFill="0" autoPict="0" macro="[0]!print_inv">
                <anchor moveWithCells="1" sizeWithCells="1">
                  <from>
                    <xdr:col>10</xdr:col>
                    <xdr:colOff>127000</xdr:colOff>
                    <xdr:row>25</xdr:row>
                    <xdr:rowOff>31750</xdr:rowOff>
                  </from>
                  <to>
                    <xdr:col>12</xdr:col>
                    <xdr:colOff>25400</xdr:colOff>
                    <xdr:row>27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4" name="Button 15">
              <controlPr defaultSize="0" print="0" autoFill="0" autoPict="0" macro="[0]!save1">
                <anchor moveWithCells="1" sizeWithCells="1">
                  <from>
                    <xdr:col>8</xdr:col>
                    <xdr:colOff>107950</xdr:colOff>
                    <xdr:row>22</xdr:row>
                    <xdr:rowOff>6350</xdr:rowOff>
                  </from>
                  <to>
                    <xdr:col>10</xdr:col>
                    <xdr:colOff>44450</xdr:colOff>
                    <xdr:row>24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5" name="Group Box 16">
              <controlPr defaultSize="0" autoFill="0" autoPict="0">
                <anchor moveWithCells="1">
                  <from>
                    <xdr:col>8</xdr:col>
                    <xdr:colOff>285750</xdr:colOff>
                    <xdr:row>12</xdr:row>
                    <xdr:rowOff>0</xdr:rowOff>
                  </from>
                  <to>
                    <xdr:col>11</xdr:col>
                    <xdr:colOff>241300</xdr:colOff>
                    <xdr:row>18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6" name="Option Button 17">
              <controlPr defaultSize="0" autoFill="0" autoLine="0" autoPict="0">
                <anchor moveWithCells="1">
                  <from>
                    <xdr:col>9</xdr:col>
                    <xdr:colOff>25400</xdr:colOff>
                    <xdr:row>15</xdr:row>
                    <xdr:rowOff>38100</xdr:rowOff>
                  </from>
                  <to>
                    <xdr:col>10</xdr:col>
                    <xdr:colOff>311150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7" name="Option Button 18">
              <controlPr defaultSize="0" autoFill="0" autoLine="0" autoPict="0">
                <anchor moveWithCells="1">
                  <from>
                    <xdr:col>9</xdr:col>
                    <xdr:colOff>19050</xdr:colOff>
                    <xdr:row>13</xdr:row>
                    <xdr:rowOff>120650</xdr:rowOff>
                  </from>
                  <to>
                    <xdr:col>10</xdr:col>
                    <xdr:colOff>361950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8" name="Option Button 19">
              <controlPr defaultSize="0" autoFill="0" autoLine="0" autoPict="0">
                <anchor moveWithCells="1">
                  <from>
                    <xdr:col>9</xdr:col>
                    <xdr:colOff>12700</xdr:colOff>
                    <xdr:row>12</xdr:row>
                    <xdr:rowOff>76200</xdr:rowOff>
                  </from>
                  <to>
                    <xdr:col>11</xdr:col>
                    <xdr:colOff>57150</xdr:colOff>
                    <xdr:row>13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Switchboard</vt:lpstr>
      <vt:lpstr>input</vt:lpstr>
      <vt:lpstr>processing&amp;output</vt:lpstr>
      <vt:lpstr>Customer_details</vt:lpstr>
      <vt:lpstr>delivery_and_installation</vt:lpstr>
      <vt:lpstr>'processing&amp;output'!Print_Area</vt:lpstr>
      <vt:lpstr>Product_details</vt:lpstr>
      <vt:lpstr>product_detailsnew</vt:lpstr>
    </vt:vector>
  </TitlesOfParts>
  <Company>Greenford High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04ramandeepsihra</dc:creator>
  <cp:lastModifiedBy>USER</cp:lastModifiedBy>
  <cp:lastPrinted>2020-06-13T17:36:29Z</cp:lastPrinted>
  <dcterms:created xsi:type="dcterms:W3CDTF">2009-11-23T11:02:55Z</dcterms:created>
  <dcterms:modified xsi:type="dcterms:W3CDTF">2020-06-13T17:37:13Z</dcterms:modified>
</cp:coreProperties>
</file>